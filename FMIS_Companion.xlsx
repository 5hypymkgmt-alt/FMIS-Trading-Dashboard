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52053efab94d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ket Scorecard" sheetId="1" r:id="Rd6ac1500702244a9"/>
    <x:sheet xmlns:r="http://schemas.openxmlformats.org/officeDocument/2006/relationships" name="Macro" sheetId="2" r:id="Rd7a4b1d19e594f8a"/>
    <x:sheet xmlns:r="http://schemas.openxmlformats.org/officeDocument/2006/relationships" name="COT and Sentiment" sheetId="3" r:id="R17941332b0ea478e"/>
    <x:sheet xmlns:r="http://schemas.openxmlformats.org/officeDocument/2006/relationships" name="Trade Journal" sheetId="4" r:id="Re67eac102fc94d4d"/>
    <x:sheet xmlns:r="http://schemas.openxmlformats.org/officeDocument/2006/relationships" name="Data Sources" sheetId="5" r:id="R6fe7da588c0649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65B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45d3a195a14e13" /><Relationship Type="http://schemas.openxmlformats.org/officeDocument/2006/relationships/theme" Target="/xl/theme/theme1.xml" Id="R32bc3bb8e35d42e9" /><Relationship Type="http://schemas.openxmlformats.org/officeDocument/2006/relationships/sharedStrings" Target="/xl/sharedStrings.xml" Id="R7459a6c8e2f84d65" /><Relationship Type="http://schemas.openxmlformats.org/officeDocument/2006/relationships/worksheet" Target="/xl/worksheets/sheet1.xml" Id="Rd6ac1500702244a9" /><Relationship Type="http://schemas.openxmlformats.org/officeDocument/2006/relationships/worksheet" Target="/xl/worksheets/sheet2.xml" Id="Rd7a4b1d19e594f8a" /><Relationship Type="http://schemas.openxmlformats.org/officeDocument/2006/relationships/worksheet" Target="/xl/worksheets/sheet3.xml" Id="R17941332b0ea478e" /><Relationship Type="http://schemas.openxmlformats.org/officeDocument/2006/relationships/worksheet" Target="/xl/worksheets/sheet4.xml" Id="Re67eac102fc94d4d" /><Relationship Type="http://schemas.openxmlformats.org/officeDocument/2006/relationships/worksheet" Target="/xl/worksheets/sheet5.xml" Id="R6fe7da588c0649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18" hidden="0" customWidth="1"/>
    <x:col min="8" max="8" width="37" hidden="0" customWidth="1"/>
    <x:col min="9" max="9" width="22" hidden="0" customWidth="1"/>
    <x:col min="10" max="10" width="22" hidden="0" customWidth="1"/>
  </x:cols>
  <x:sheetData>
    <x:row r="1" ht="35" customHeight="1">
      <x:c r="A1" s="4" t="str">
        <x:v>Market</x:v>
      </x:c>
      <x:c r="B1" s="4" t="str">
        <x:v>Price symbol</x:v>
      </x:c>
      <x:c r="C1" s="4" t="str">
        <x:v>Technical score (-5 to 5)</x:v>
      </x:c>
      <x:c r="D1" s="4" t="str">
        <x:v>Macro bias (-1/0/1)</x:v>
      </x:c>
      <x:c r="E1" s="4" t="str">
        <x:v>COT bias (-1/0/1)</x:v>
      </x:c>
      <x:c r="F1" s="4" t="str">
        <x:v>Sentiment (-1/0/1)</x:v>
      </x:c>
      <x:c r="G1" s="4" t="str">
        <x:v>Data date</x:v>
      </x:c>
      <x:c r="H1" s="4" t="str">
        <x:v>Data source</x:v>
      </x:c>
      <x:c r="I1" s="4" t="str">
        <x:v>R:R</x:v>
      </x:c>
      <x:c r="J1" s="4" t="str">
        <x:v>Status</x:v>
      </x:c>
    </x:row>
    <x:row r="2">
      <x:c r="A2" t="str">
        <x:v>S&amp;P 500</x:v>
      </x:c>
      <x:c r="B2" t="str">
        <x:v>SPY</x:v>
      </x:c>
      <x:c r="C2"/>
      <x:c r="D2"/>
      <x:c r="E2"/>
      <x:c r="F2"/>
      <x:c r="G2"/>
      <x:c r="H2"/>
      <x:c r="I2"/>
      <x:c r="J2" t="str">
        <x:f>IF(OR(C2="",D2="",E2="",F2="",G2="",H2="",I2=""),"NO TRADE - MISSING DATA",IF(AND(C2&gt;=4,D2&gt;=0,E2&gt;=0,F2&gt;=0,I2&gt;=2),"LONG REVIEW",IF(AND(C2&lt;=-4,D2&lt;=0,E2&lt;=0,F2&lt;=0,I2&gt;=2),"SHORT REVIEW","NO TRADE")))</x:f>
        <x:v>NO TRADE - MISSING DATA</x:v>
      </x:c>
    </x:row>
    <x:row r="3">
      <x:c r="A3" t="str">
        <x:v>Gold</x:v>
      </x:c>
      <x:c r="B3" t="str">
        <x:v>GLD</x:v>
      </x:c>
      <x:c r="C3"/>
      <x:c r="D3"/>
      <x:c r="E3"/>
      <x:c r="F3"/>
      <x:c r="G3"/>
      <x:c r="H3"/>
      <x:c r="I3"/>
      <x:c r="J3" t="str">
        <x:f>IF(OR(C3="",D3="",E3="",F3="",G3="",H3="",I3=""),"NO TRADE - MISSING DATA",IF(AND(C3&gt;=4,D3&gt;=0,E3&gt;=0,F3&gt;=0,I3&gt;=2),"LONG REVIEW",IF(AND(C3&lt;=-4,D3&lt;=0,E3&lt;=0,F3&lt;=0,I3&gt;=2),"SHORT REVIEW","NO TRADE")))</x:f>
        <x:v>NO TRADE - MISSING DATA</x:v>
      </x:c>
    </x:row>
    <x:row r="4">
      <x:c r="A4" t="str">
        <x:v>Nasdaq 100</x:v>
      </x:c>
      <x:c r="B4" t="str">
        <x:v>QQQ</x:v>
      </x:c>
      <x:c r="C4"/>
      <x:c r="D4"/>
      <x:c r="E4"/>
      <x:c r="F4"/>
      <x:c r="G4"/>
      <x:c r="H4"/>
      <x:c r="I4"/>
      <x:c r="J4" t="str">
        <x:f>IF(OR(C4="",D4="",E4="",F4="",G4="",H4="",I4=""),"NO TRADE - MISSING DATA",IF(AND(C4&gt;=4,D4&gt;=0,E4&gt;=0,F4&gt;=0,I4&gt;=2),"LONG REVIEW",IF(AND(C4&lt;=-4,D4&lt;=0,E4&lt;=0,F4&lt;=0,I4&gt;=2),"SHORT REVIEW","NO TRADE")))</x:f>
        <x:v>NO TRADE - MISSING DATA</x:v>
      </x:c>
    </x:row>
    <x:row r="5">
      <x:c r="A5" t="str">
        <x:v>FTSE 100</x:v>
      </x:c>
      <x:c r="B5" t="str">
        <x:v>ISF.L</x:v>
      </x:c>
      <x:c r="C5"/>
      <x:c r="D5"/>
      <x:c r="E5"/>
      <x:c r="F5"/>
      <x:c r="G5"/>
      <x:c r="H5"/>
      <x:c r="I5"/>
      <x:c r="J5" t="str">
        <x:f>IF(OR(C5="",D5="",E5="",F5="",G5="",H5="",I5=""),"NO TRADE - MISSING DATA",IF(AND(C5&gt;=4,D5&gt;=0,E5&gt;=0,F5&gt;=0,I5&gt;=2),"LONG REVIEW",IF(AND(C5&lt;=-4,D5&lt;=0,E5&lt;=0,F5&lt;=0,I5&gt;=2),"SHORT REVIEW","NO TRADE")))</x:f>
        <x:v>NO TRADE - MISSING DATA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34" customHeight="1">
      <x:c r="A1" s="4" t="str">
        <x:v>Series</x:v>
      </x:c>
      <x:c r="B1" s="4" t="str">
        <x:v>Latest value</x:v>
      </x:c>
      <x:c r="C1" s="4" t="str">
        <x:v>Observation date</x:v>
      </x:c>
      <x:c r="D1" s="4" t="str">
        <x:v>Release verified</x:v>
      </x:c>
      <x:c r="E1" s="4" t="str">
        <x:v>Source URL</x:v>
      </x:c>
      <x:c r="F1" s="4" t="str">
        <x:v>Directional bias</x:v>
      </x:c>
      <x:c r="G1" s="4" t="str">
        <x:v>Comment</x:v>
      </x:c>
    </x:row>
    <x:row r="2">
      <x:c r="A2" t="str">
        <x:v>DGS10</x:v>
      </x:c>
      <x:c r="B2"/>
      <x:c r="C2"/>
      <x:c r="D2"/>
      <x:c r="E2" t="str">
        <x:v>https://fred.stlouisfed.org/series/DGS10</x:v>
      </x:c>
      <x:c r="F2"/>
      <x:c r="G2" t="str">
        <x:v>10Y Treasury yield</x:v>
      </x:c>
    </x:row>
    <x:row r="3">
      <x:c r="A3" t="str">
        <x:v>DGS2</x:v>
      </x:c>
      <x:c r="B3"/>
      <x:c r="C3"/>
      <x:c r="D3"/>
      <x:c r="E3" t="str">
        <x:v>https://fred.stlouisfed.org/series/DGS2</x:v>
      </x:c>
      <x:c r="F3"/>
      <x:c r="G3" t="str">
        <x:v>2Y Treasury yield</x:v>
      </x:c>
    </x:row>
    <x:row r="4">
      <x:c r="A4" t="str">
        <x:v>T10YIE</x:v>
      </x:c>
      <x:c r="B4"/>
      <x:c r="C4"/>
      <x:c r="D4"/>
      <x:c r="E4" t="str">
        <x:v>https://fred.stlouisfed.org/series/T10YIE</x:v>
      </x:c>
      <x:c r="F4"/>
      <x:c r="G4" t="str">
        <x:v>10Y breakeven inflation</x:v>
      </x:c>
    </x:row>
    <x:row r="5">
      <x:c r="A5" t="str">
        <x:v>CPIAUCSL</x:v>
      </x:c>
      <x:c r="B5"/>
      <x:c r="C5"/>
      <x:c r="D5"/>
      <x:c r="E5" t="str">
        <x:v>https://fred.stlouisfed.org/series/CPIAUCSL</x:v>
      </x:c>
      <x:c r="F5"/>
      <x:c r="G5" t="str">
        <x:v>Monthly CPI</x:v>
      </x:c>
    </x:row>
    <x:row r="6">
      <x:c r="A6" t="str">
        <x:v>UNRATE</x:v>
      </x:c>
      <x:c r="B6"/>
      <x:c r="C6"/>
      <x:c r="D6"/>
      <x:c r="E6" t="str">
        <x:v>https://fred.stlouisfed.org/series/UNRATE</x:v>
      </x:c>
      <x:c r="F6"/>
      <x:c r="G6" t="str">
        <x:v>Monthly unemployment</x:v>
      </x:c>
    </x:row>
    <x:row r="7">
      <x:c r="A7" t="str">
        <x:v>VIXCLS</x:v>
      </x:c>
      <x:c r="B7"/>
      <x:c r="C7"/>
      <x:c r="D7"/>
      <x:c r="E7" t="str">
        <x:v>https://fred.stlouisfed.org/series/VIXCLS</x:v>
      </x:c>
      <x:c r="F7"/>
      <x:c r="G7" t="str">
        <x:v>Volatility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4" customHeight="1">
      <x:c r="A1" s="4" t="str">
        <x:v>Market</x:v>
      </x:c>
      <x:c r="B1" s="4" t="str">
        <x:v>Data type</x:v>
      </x:c>
      <x:c r="C1" s="4" t="str">
        <x:v>Net positioning / sentiment</x:v>
      </x:c>
      <x:c r="D1" s="4" t="str">
        <x:v>As-of date</x:v>
      </x:c>
      <x:c r="E1" s="4" t="str">
        <x:v>Published date</x:v>
      </x:c>
      <x:c r="F1" s="4" t="str">
        <x:v>Source URL</x:v>
      </x:c>
      <x:c r="G1" s="4" t="str">
        <x:v>Bias</x:v>
      </x:c>
      <x:c r="H1" s="4" t="str">
        <x:v>Caveat</x:v>
      </x:c>
    </x:row>
    <x:row r="2">
      <x:c r="A2" t="str">
        <x:v>S&amp;P 500</x:v>
      </x:c>
      <x:c r="B2" t="str">
        <x:v>CFTC positioning</x:v>
      </x:c>
      <x:c r="C2"/>
      <x:c r="D2"/>
      <x:c r="E2"/>
      <x:c r="F2" t="str">
        <x:v>https://www.cftc.gov/MarketReports/CommitmentsofTraders/index.htm</x:v>
      </x:c>
      <x:c r="G2"/>
      <x:c r="H2" t="str">
        <x:v>Weekly lagged; verify contract</x:v>
      </x:c>
    </x:row>
    <x:row r="3">
      <x:c r="A3" t="str">
        <x:v>Gold</x:v>
      </x:c>
      <x:c r="B3" t="str">
        <x:v>CFTC positioning</x:v>
      </x:c>
      <x:c r="C3"/>
      <x:c r="D3"/>
      <x:c r="E3"/>
      <x:c r="F3" t="str">
        <x:v>https://www.cftc.gov/MarketReports/CommitmentsofTraders/index.htm</x:v>
      </x:c>
      <x:c r="G3"/>
      <x:c r="H3" t="str">
        <x:v>Weekly lagged; verify contract</x:v>
      </x:c>
    </x:row>
    <x:row r="4">
      <x:c r="A4" t="str">
        <x:v>Nasdaq 100</x:v>
      </x:c>
      <x:c r="B4" t="str">
        <x:v>CFTC positioning</x:v>
      </x:c>
      <x:c r="C4"/>
      <x:c r="D4"/>
      <x:c r="E4"/>
      <x:c r="F4" t="str">
        <x:v>https://www.cftc.gov/MarketReports/CommitmentsofTraders/index.htm</x:v>
      </x:c>
      <x:c r="G4"/>
      <x:c r="H4" t="str">
        <x:v>Weekly lagged; verify contract</x:v>
      </x:c>
    </x:row>
    <x:row r="5">
      <x:c r="A5" t="str">
        <x:v>FTSE 100</x:v>
      </x:c>
      <x:c r="B5" t="str">
        <x:v>CFTC positioning</x:v>
      </x:c>
      <x:c r="C5"/>
      <x:c r="D5"/>
      <x:c r="E5"/>
      <x:c r="F5" t="str">
        <x:v>https://www.cftc.gov/MarketReports/CommitmentsofTraders/index.htm</x:v>
      </x:c>
      <x:c r="G5"/>
      <x:c r="H5" t="str">
        <x:v>Weekly lagged; verify contract</x:v>
      </x:c>
    </x:row>
    <x:row r="6">
      <x:c r="A6" t="str">
        <x:v>S&amp;P 500</x:v>
      </x:c>
      <x:c r="B6" t="str">
        <x:v>Retail sentiment</x:v>
      </x:c>
      <x:c r="C6"/>
      <x:c r="D6"/>
      <x:c r="E6"/>
      <x:c r="F6"/>
      <x:c r="G6"/>
      <x:c r="H6" t="str">
        <x:v>Unavailable until a reliable source is configured</x:v>
      </x:c>
    </x:row>
    <x:row r="7">
      <x:c r="A7" t="str">
        <x:v>Gold</x:v>
      </x:c>
      <x:c r="B7" t="str">
        <x:v>Retail sentiment</x:v>
      </x:c>
      <x:c r="C7"/>
      <x:c r="D7"/>
      <x:c r="E7"/>
      <x:c r="F7"/>
      <x:c r="G7"/>
      <x:c r="H7" t="str">
        <x:v>Unavailable until a reliable source is configured</x:v>
      </x:c>
    </x:row>
    <x:row r="8">
      <x:c r="A8" t="str">
        <x:v>Nasdaq 100</x:v>
      </x:c>
      <x:c r="B8" t="str">
        <x:v>Retail sentiment</x:v>
      </x:c>
      <x:c r="C8"/>
      <x:c r="D8"/>
      <x:c r="E8"/>
      <x:c r="F8"/>
      <x:c r="G8"/>
      <x:c r="H8" t="str">
        <x:v>Unavailable until a reliable source is configured</x:v>
      </x:c>
    </x:row>
    <x:row r="9">
      <x:c r="A9" t="str">
        <x:v>FTSE 100</x:v>
      </x:c>
      <x:c r="B9" t="str">
        <x:v>Retail sentiment</x:v>
      </x:c>
      <x:c r="C9"/>
      <x:c r="D9"/>
      <x:c r="E9"/>
      <x:c r="F9"/>
      <x:c r="G9"/>
      <x:c r="H9" t="str">
        <x:v>Unavailable until a reliable source is configured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</x:cols>
  <x:sheetData>
    <x:row r="1" ht="34" customHeight="1">
      <x:c r="A1" s="4" t="str">
        <x:v>Date</x:v>
      </x:c>
      <x:c r="B1" s="4" t="str">
        <x:v>Market</x:v>
      </x:c>
      <x:c r="C1" s="4" t="str">
        <x:v>Direction</x:v>
      </x:c>
      <x:c r="D1" s="4" t="str">
        <x:v>Entry</x:v>
      </x:c>
      <x:c r="E1" s="4" t="str">
        <x:v>Stop</x:v>
      </x:c>
      <x:c r="F1" s="4" t="str">
        <x:v>Target</x:v>
      </x:c>
      <x:c r="G1" s="4" t="str">
        <x:v>Reward/Risk</x:v>
      </x:c>
      <x:c r="H1" s="4" t="str">
        <x:v>Account equity GBP</x:v>
      </x:c>
      <x:c r="I1" s="4" t="str">
        <x:v>Risk %</x:v>
      </x:c>
      <x:c r="J1" s="4" t="str">
        <x:v>Maximum cash risk GBP</x:v>
      </x:c>
      <x:c r="K1" s="4" t="str">
        <x:v>Decision</x:v>
      </x:c>
      <x:c r="L1" s="4" t="str">
        <x:v>Source/notes</x:v>
      </x:c>
    </x:row>
    <x:row r="2">
      <x:c r="G2" t="str">
        <x:f>IFERROR(ABS((F2-D2)/(D2-E2)),"")</x:f>
      </x:c>
      <x:c r="J2" t="n">
        <x:f>IFERROR(H2*I2/100,"")</x:f>
        <x:v>0</x:v>
      </x:c>
    </x:row>
    <x:row r="3">
      <x:c r="G3" t="str">
        <x:f>IFERROR(ABS((F3-D3)/(D3-E3)),"")</x:f>
      </x:c>
      <x:c r="J3" t="n">
        <x:f>IFERROR(H3*I3/100,"")</x:f>
        <x:v>0</x:v>
      </x:c>
    </x:row>
    <x:row r="4">
      <x:c r="G4" t="str">
        <x:f>IFERROR(ABS((F4-D4)/(D4-E4)),"")</x:f>
      </x:c>
      <x:c r="J4" t="n">
        <x:f>IFERROR(H4*I4/100,"")</x:f>
        <x:v>0</x:v>
      </x:c>
    </x:row>
    <x:row r="5">
      <x:c r="G5" t="str">
        <x:f>IFERROR(ABS((F5-D5)/(D5-E5)),"")</x:f>
      </x:c>
      <x:c r="J5" t="n">
        <x:f>IFERROR(H5*I5/100,"")</x:f>
        <x:v>0</x:v>
      </x:c>
    </x:row>
    <x:row r="6">
      <x:c r="G6" t="str">
        <x:f>IFERROR(ABS((F6-D6)/(D6-E6)),"")</x:f>
      </x:c>
      <x:c r="J6" t="n">
        <x:f>IFERROR(H6*I6/100,"")</x:f>
        <x:v>0</x:v>
      </x:c>
    </x:row>
    <x:row r="7">
      <x:c r="G7" t="str">
        <x:f>IFERROR(ABS((F7-D7)/(D7-E7)),"")</x:f>
      </x:c>
      <x:c r="J7" t="n">
        <x:f>IFERROR(H7*I7/100,"")</x:f>
        <x:v>0</x:v>
      </x:c>
    </x:row>
    <x:row r="8">
      <x:c r="G8" t="str">
        <x:f>IFERROR(ABS((F8-D8)/(D8-E8)),"")</x:f>
      </x:c>
      <x:c r="J8" t="n">
        <x:f>IFERROR(H8*I8/100,"")</x:f>
        <x:v>0</x:v>
      </x:c>
    </x:row>
    <x:row r="9">
      <x:c r="G9" t="str">
        <x:f>IFERROR(ABS((F9-D9)/(D9-E9)),"")</x:f>
      </x:c>
      <x:c r="J9" t="n">
        <x:f>IFERROR(H9*I9/100,"")</x:f>
        <x:v>0</x:v>
      </x:c>
    </x:row>
    <x:row r="10">
      <x:c r="G10" t="str">
        <x:f>IFERROR(ABS((F10-D10)/(D10-E10)),"")</x:f>
      </x:c>
      <x:c r="J10" t="n">
        <x:f>IFERROR(H10*I10/100,"")</x:f>
        <x:v>0</x:v>
      </x:c>
    </x:row>
    <x:row r="11">
      <x:c r="G11" t="str">
        <x:f>IFERROR(ABS((F11-D11)/(D11-E11)),"")</x:f>
      </x:c>
      <x:c r="J11" t="n">
        <x:f>IFERROR(H11*I11/100,"")</x:f>
        <x:v>0</x:v>
      </x:c>
    </x:row>
    <x:row r="12">
      <x:c r="G12" t="str">
        <x:f>IFERROR(ABS((F12-D12)/(D12-E12)),"")</x:f>
      </x:c>
      <x:c r="J12" t="n">
        <x:f>IFERROR(H12*I12/100,"")</x:f>
        <x:v>0</x:v>
      </x:c>
    </x:row>
    <x:row r="13">
      <x:c r="G13" t="str">
        <x:f>IFERROR(ABS((F13-D13)/(D13-E13)),"")</x:f>
      </x:c>
      <x:c r="J13" t="n">
        <x:f>IFERROR(H13*I13/100,"")</x:f>
        <x:v>0</x:v>
      </x:c>
    </x:row>
    <x:row r="14">
      <x:c r="G14" t="str">
        <x:f>IFERROR(ABS((F14-D14)/(D14-E14)),"")</x:f>
      </x:c>
      <x:c r="J14" t="n">
        <x:f>IFERROR(H14*I14/100,"")</x:f>
        <x:v>0</x:v>
      </x:c>
    </x:row>
    <x:row r="15">
      <x:c r="G15" t="str">
        <x:f>IFERROR(ABS((F15-D15)/(D15-E15)),"")</x:f>
      </x:c>
      <x:c r="J15" t="n">
        <x:f>IFERROR(H15*I15/100,"")</x:f>
        <x:v>0</x:v>
      </x:c>
    </x:row>
    <x:row r="16">
      <x:c r="G16" t="str">
        <x:f>IFERROR(ABS((F16-D16)/(D16-E16)),"")</x:f>
      </x:c>
      <x:c r="J16" t="n">
        <x:f>IFERROR(H16*I16/100,"")</x:f>
        <x:v>0</x:v>
      </x:c>
    </x:row>
    <x:row r="17">
      <x:c r="G17" t="str">
        <x:f>IFERROR(ABS((F17-D17)/(D17-E17)),"")</x:f>
      </x:c>
      <x:c r="J17" t="n">
        <x:f>IFERROR(H17*I17/100,"")</x:f>
        <x:v>0</x:v>
      </x:c>
    </x:row>
    <x:row r="18">
      <x:c r="G18" t="str">
        <x:f>IFERROR(ABS((F18-D18)/(D18-E18)),"")</x:f>
      </x:c>
      <x:c r="J18" t="n">
        <x:f>IFERROR(H18*I18/100,"")</x:f>
        <x:v>0</x:v>
      </x:c>
    </x:row>
    <x:row r="19">
      <x:c r="G19" t="str">
        <x:f>IFERROR(ABS((F19-D19)/(D19-E19)),"")</x:f>
      </x:c>
      <x:c r="J19" t="n">
        <x:f>IFERROR(H19*I19/100,"")</x:f>
        <x:v>0</x:v>
      </x:c>
    </x:row>
    <x:row r="20">
      <x:c r="G20" t="str">
        <x:f>IFERROR(ABS((F20-D20)/(D20-E20)),"")</x:f>
      </x:c>
      <x:c r="J20" t="n">
        <x:f>IFERROR(H20*I20/100,"")</x:f>
        <x:v>0</x:v>
      </x:c>
    </x:row>
    <x:row r="21">
      <x:c r="G21" t="str">
        <x:f>IFERROR(ABS((F21-D21)/(D21-E21)),"")</x:f>
      </x:c>
      <x:c r="J21" t="n">
        <x:f>IFERROR(H21*I21/100,"")</x:f>
        <x:v>0</x:v>
      </x:c>
    </x:row>
    <x:row r="22">
      <x:c r="G22" t="str">
        <x:f>IFERROR(ABS((F22-D22)/(D22-E22)),"")</x:f>
      </x:c>
      <x:c r="J22" t="n">
        <x:f>IFERROR(H22*I22/100,"")</x:f>
        <x:v>0</x:v>
      </x:c>
    </x:row>
    <x:row r="23">
      <x:c r="G23" t="str">
        <x:f>IFERROR(ABS((F23-D23)/(D23-E23)),"")</x:f>
      </x:c>
      <x:c r="J23" t="n">
        <x:f>IFERROR(H23*I23/100,"")</x:f>
        <x:v>0</x:v>
      </x:c>
    </x:row>
    <x:row r="24">
      <x:c r="G24" t="str">
        <x:f>IFERROR(ABS((F24-D24)/(D24-E24)),"")</x:f>
      </x:c>
      <x:c r="J24" t="n">
        <x:f>IFERROR(H24*I24/100,"")</x:f>
        <x:v>0</x:v>
      </x:c>
    </x:row>
    <x:row r="25">
      <x:c r="G25" t="str">
        <x:f>IFERROR(ABS((F25-D25)/(D25-E25)),"")</x:f>
      </x:c>
      <x:c r="J25" t="n">
        <x:f>IFERROR(H25*I25/100,"")</x:f>
        <x:v>0</x:v>
      </x:c>
    </x:row>
    <x:row r="26">
      <x:c r="G26" t="str">
        <x:f>IFERROR(ABS((F26-D26)/(D26-E26)),"")</x:f>
      </x:c>
      <x:c r="J26" t="n">
        <x:f>IFERROR(H26*I26/100,"")</x:f>
        <x:v>0</x:v>
      </x:c>
    </x:row>
    <x:row r="27">
      <x:c r="G27" t="str">
        <x:f>IFERROR(ABS((F27-D27)/(D27-E27)),"")</x:f>
      </x:c>
      <x:c r="J27" t="n">
        <x:f>IFERROR(H27*I27/100,"")</x:f>
        <x:v>0</x:v>
      </x:c>
    </x:row>
    <x:row r="28">
      <x:c r="G28" t="str">
        <x:f>IFERROR(ABS((F28-D28)/(D28-E28)),"")</x:f>
      </x:c>
      <x:c r="J28" t="n">
        <x:f>IFERROR(H28*I28/100,"")</x:f>
        <x:v>0</x:v>
      </x:c>
    </x:row>
    <x:row r="29">
      <x:c r="G29" t="str">
        <x:f>IFERROR(ABS((F29-D29)/(D29-E29)),"")</x:f>
      </x:c>
      <x:c r="J29" t="n">
        <x:f>IFERROR(H29*I29/100,"")</x:f>
        <x:v>0</x:v>
      </x:c>
    </x:row>
    <x:row r="30">
      <x:c r="G30" t="str">
        <x:f>IFERROR(ABS((F30-D30)/(D30-E30)),"")</x:f>
      </x:c>
      <x:c r="J30" t="n">
        <x:f>IFERROR(H30*I30/100,"")</x:f>
        <x:v>0</x:v>
      </x:c>
    </x:row>
    <x:row r="31">
      <x:c r="G31" t="str">
        <x:f>IFERROR(ABS((F31-D31)/(D31-E31)),"")</x:f>
      </x:c>
      <x:c r="J31" t="n">
        <x:f>IFERROR(H31*I31/100,"")</x:f>
        <x:v>0</x:v>
      </x:c>
    </x:row>
    <x:row r="32">
      <x:c r="G32" t="str">
        <x:f>IFERROR(ABS((F32-D32)/(D32-E32)),"")</x:f>
      </x:c>
      <x:c r="J32" t="n">
        <x:f>IFERROR(H32*I32/100,"")</x:f>
        <x:v>0</x:v>
      </x:c>
    </x:row>
    <x:row r="33">
      <x:c r="G33" t="str">
        <x:f>IFERROR(ABS((F33-D33)/(D33-E33)),"")</x:f>
      </x:c>
      <x:c r="J33" t="n">
        <x:f>IFERROR(H33*I33/100,"")</x:f>
        <x:v>0</x:v>
      </x:c>
    </x:row>
    <x:row r="34">
      <x:c r="G34" t="str">
        <x:f>IFERROR(ABS((F34-D34)/(D34-E34)),"")</x:f>
      </x:c>
      <x:c r="J34" t="n">
        <x:f>IFERROR(H34*I34/100,"")</x:f>
        <x:v>0</x:v>
      </x:c>
    </x:row>
    <x:row r="35">
      <x:c r="G35" t="str">
        <x:f>IFERROR(ABS((F35-D35)/(D35-E35)),"")</x:f>
      </x:c>
      <x:c r="J35" t="n">
        <x:f>IFERROR(H35*I35/100,"")</x:f>
        <x:v>0</x:v>
      </x:c>
    </x:row>
    <x:row r="36">
      <x:c r="G36" t="str">
        <x:f>IFERROR(ABS((F36-D36)/(D36-E36)),"")</x:f>
      </x:c>
      <x:c r="J36" t="n">
        <x:f>IFERROR(H36*I36/100,"")</x:f>
        <x:v>0</x:v>
      </x:c>
    </x:row>
    <x:row r="37">
      <x:c r="G37" t="str">
        <x:f>IFERROR(ABS((F37-D37)/(D37-E37)),"")</x:f>
      </x:c>
      <x:c r="J37" t="n">
        <x:f>IFERROR(H37*I37/100,"")</x:f>
        <x:v>0</x:v>
      </x:c>
    </x:row>
    <x:row r="38">
      <x:c r="G38" t="str">
        <x:f>IFERROR(ABS((F38-D38)/(D38-E38)),"")</x:f>
      </x:c>
      <x:c r="J38" t="n">
        <x:f>IFERROR(H38*I38/100,"")</x:f>
        <x:v>0</x:v>
      </x:c>
    </x:row>
    <x:row r="39">
      <x:c r="G39" t="str">
        <x:f>IFERROR(ABS((F39-D39)/(D39-E39)),"")</x:f>
      </x:c>
      <x:c r="J39" t="n">
        <x:f>IFERROR(H39*I39/100,"")</x:f>
        <x:v>0</x:v>
      </x:c>
    </x:row>
    <x:row r="40">
      <x:c r="G40" t="str">
        <x:f>IFERROR(ABS((F40-D40)/(D40-E40)),"")</x:f>
      </x:c>
      <x:c r="J40" t="n">
        <x:f>IFERROR(H40*I40/100,"")</x:f>
        <x:v>0</x:v>
      </x:c>
    </x:row>
    <x:row r="41">
      <x:c r="G41" t="str">
        <x:f>IFERROR(ABS((F41-D41)/(D41-E41)),"")</x:f>
      </x:c>
      <x:c r="J41" t="n">
        <x:f>IFERROR(H41*I41/100,"")</x:f>
        <x:v>0</x:v>
      </x:c>
    </x:row>
    <x:row r="42">
      <x:c r="G42" t="str">
        <x:f>IFERROR(ABS((F42-D42)/(D42-E42)),"")</x:f>
      </x:c>
      <x:c r="J42" t="n">
        <x:f>IFERROR(H42*I42/100,"")</x:f>
        <x:v>0</x:v>
      </x:c>
    </x:row>
    <x:row r="43">
      <x:c r="G43" t="str">
        <x:f>IFERROR(ABS((F43-D43)/(D43-E43)),"")</x:f>
      </x:c>
      <x:c r="J43" t="n">
        <x:f>IFERROR(H43*I43/100,"")</x:f>
        <x:v>0</x:v>
      </x:c>
    </x:row>
    <x:row r="44">
      <x:c r="G44" t="str">
        <x:f>IFERROR(ABS((F44-D44)/(D44-E44)),"")</x:f>
      </x:c>
      <x:c r="J44" t="n">
        <x:f>IFERROR(H44*I44/100,"")</x:f>
        <x:v>0</x:v>
      </x:c>
    </x:row>
    <x:row r="45">
      <x:c r="G45" t="str">
        <x:f>IFERROR(ABS((F45-D45)/(D45-E45)),"")</x:f>
      </x:c>
      <x:c r="J45" t="n">
        <x:f>IFERROR(H45*I45/100,"")</x:f>
        <x:v>0</x:v>
      </x:c>
    </x:row>
    <x:row r="46">
      <x:c r="G46" t="str">
        <x:f>IFERROR(ABS((F46-D46)/(D46-E46)),"")</x:f>
      </x:c>
      <x:c r="J46" t="n">
        <x:f>IFERROR(H46*I46/100,"")</x:f>
        <x:v>0</x:v>
      </x:c>
    </x:row>
    <x:row r="47">
      <x:c r="G47" t="str">
        <x:f>IFERROR(ABS((F47-D47)/(D47-E47)),"")</x:f>
      </x:c>
      <x:c r="J47" t="n">
        <x:f>IFERROR(H47*I47/100,"")</x:f>
        <x:v>0</x:v>
      </x:c>
    </x:row>
    <x:row r="48">
      <x:c r="G48" t="str">
        <x:f>IFERROR(ABS((F48-D48)/(D48-E48)),"")</x:f>
      </x:c>
      <x:c r="J48" t="n">
        <x:f>IFERROR(H48*I48/100,"")</x:f>
        <x:v>0</x:v>
      </x:c>
    </x:row>
    <x:row r="49">
      <x:c r="G49" t="str">
        <x:f>IFERROR(ABS((F49-D49)/(D49-E49)),"")</x:f>
      </x:c>
      <x:c r="J49" t="n">
        <x:f>IFERROR(H49*I49/100,"")</x:f>
        <x:v>0</x:v>
      </x:c>
    </x:row>
    <x:row r="50">
      <x:c r="G50" t="str">
        <x:f>IFERROR(ABS((F50-D50)/(D50-E50)),"")</x:f>
      </x:c>
      <x:c r="J50" t="n">
        <x:f>IFERROR(H50*I50/100,"")</x:f>
        <x:v>0</x:v>
      </x:c>
    </x:row>
    <x:row r="51">
      <x:c r="G51" t="str">
        <x:f>IFERROR(ABS((F51-D51)/(D51-E51)),"")</x:f>
      </x:c>
      <x:c r="J51" t="n">
        <x:f>IFERROR(H51*I51/100,"")</x:f>
        <x:v>0</x:v>
      </x:c>
    </x:row>
    <x:row r="52">
      <x:c r="G52" t="str">
        <x:f>IFERROR(ABS((F52-D52)/(D52-E52)),"")</x:f>
      </x:c>
      <x:c r="J52" t="n">
        <x:f>IFERROR(H52*I52/100,"")</x:f>
        <x:v>0</x:v>
      </x:c>
    </x:row>
    <x:row r="53">
      <x:c r="G53" t="str">
        <x:f>IFERROR(ABS((F53-D53)/(D53-E53)),"")</x:f>
      </x:c>
      <x:c r="J53" t="n">
        <x:f>IFERROR(H53*I53/100,"")</x:f>
        <x:v>0</x:v>
      </x:c>
    </x:row>
    <x:row r="54">
      <x:c r="G54" t="str">
        <x:f>IFERROR(ABS((F54-D54)/(D54-E54)),"")</x:f>
      </x:c>
      <x:c r="J54" t="n">
        <x:f>IFERROR(H54*I54/100,"")</x:f>
        <x:v>0</x:v>
      </x:c>
    </x:row>
    <x:row r="55">
      <x:c r="G55" t="str">
        <x:f>IFERROR(ABS((F55-D55)/(D55-E55)),"")</x:f>
      </x:c>
      <x:c r="J55" t="n">
        <x:f>IFERROR(H55*I55/100,"")</x:f>
        <x:v>0</x:v>
      </x:c>
    </x:row>
    <x:row r="56">
      <x:c r="G56" t="str">
        <x:f>IFERROR(ABS((F56-D56)/(D56-E56)),"")</x:f>
      </x:c>
      <x:c r="J56" t="n">
        <x:f>IFERROR(H56*I56/100,"")</x:f>
        <x:v>0</x:v>
      </x:c>
    </x:row>
    <x:row r="57">
      <x:c r="G57" t="str">
        <x:f>IFERROR(ABS((F57-D57)/(D57-E57)),"")</x:f>
      </x:c>
      <x:c r="J57" t="n">
        <x:f>IFERROR(H57*I57/100,"")</x:f>
        <x:v>0</x:v>
      </x:c>
    </x:row>
    <x:row r="58">
      <x:c r="G58" t="str">
        <x:f>IFERROR(ABS((F58-D58)/(D58-E58)),"")</x:f>
      </x:c>
      <x:c r="J58" t="n">
        <x:f>IFERROR(H58*I58/100,"")</x:f>
        <x:v>0</x:v>
      </x:c>
    </x:row>
    <x:row r="59">
      <x:c r="G59" t="str">
        <x:f>IFERROR(ABS((F59-D59)/(D59-E59)),"")</x:f>
      </x:c>
      <x:c r="J59" t="n">
        <x:f>IFERROR(H59*I59/100,"")</x:f>
        <x:v>0</x:v>
      </x:c>
    </x:row>
    <x:row r="60">
      <x:c r="G60" t="str">
        <x:f>IFERROR(ABS((F60-D60)/(D60-E60)),"")</x:f>
      </x:c>
      <x:c r="J60" t="n">
        <x:f>IFERROR(H60*I60/100,"")</x:f>
        <x:v>0</x:v>
      </x:c>
    </x:row>
    <x:row r="61">
      <x:c r="G61" t="str">
        <x:f>IFERROR(ABS((F61-D61)/(D61-E61)),"")</x:f>
      </x:c>
      <x:c r="J61" t="n">
        <x:f>IFERROR(H61*I61/100,"")</x:f>
        <x:v>0</x:v>
      </x:c>
    </x:row>
    <x:row r="62">
      <x:c r="G62" t="str">
        <x:f>IFERROR(ABS((F62-D62)/(D62-E62)),"")</x:f>
      </x:c>
      <x:c r="J62" t="n">
        <x:f>IFERROR(H62*I62/100,"")</x:f>
        <x:v>0</x:v>
      </x:c>
    </x:row>
    <x:row r="63">
      <x:c r="G63" t="str">
        <x:f>IFERROR(ABS((F63-D63)/(D63-E63)),"")</x:f>
      </x:c>
      <x:c r="J63" t="n">
        <x:f>IFERROR(H63*I63/100,"")</x:f>
        <x:v>0</x:v>
      </x:c>
    </x:row>
    <x:row r="64">
      <x:c r="G64" t="str">
        <x:f>IFERROR(ABS((F64-D64)/(D64-E64)),"")</x:f>
      </x:c>
      <x:c r="J64" t="n">
        <x:f>IFERROR(H64*I64/100,"")</x:f>
        <x:v>0</x:v>
      </x:c>
    </x:row>
    <x:row r="65">
      <x:c r="G65" t="str">
        <x:f>IFERROR(ABS((F65-D65)/(D65-E65)),"")</x:f>
      </x:c>
      <x:c r="J65" t="n">
        <x:f>IFERROR(H65*I65/100,"")</x:f>
        <x:v>0</x:v>
      </x:c>
    </x:row>
    <x:row r="66">
      <x:c r="G66" t="str">
        <x:f>IFERROR(ABS((F66-D66)/(D66-E66)),"")</x:f>
      </x:c>
      <x:c r="J66" t="n">
        <x:f>IFERROR(H66*I66/100,"")</x:f>
        <x:v>0</x:v>
      </x:c>
    </x:row>
    <x:row r="67">
      <x:c r="G67" t="str">
        <x:f>IFERROR(ABS((F67-D67)/(D67-E67)),"")</x:f>
      </x:c>
      <x:c r="J67" t="n">
        <x:f>IFERROR(H67*I67/100,"")</x:f>
        <x:v>0</x:v>
      </x:c>
    </x:row>
    <x:row r="68">
      <x:c r="G68" t="str">
        <x:f>IFERROR(ABS((F68-D68)/(D68-E68)),"")</x:f>
      </x:c>
      <x:c r="J68" t="n">
        <x:f>IFERROR(H68*I68/100,"")</x:f>
        <x:v>0</x:v>
      </x:c>
    </x:row>
    <x:row r="69">
      <x:c r="G69" t="str">
        <x:f>IFERROR(ABS((F69-D69)/(D69-E69)),"")</x:f>
      </x:c>
      <x:c r="J69" t="n">
        <x:f>IFERROR(H69*I69/100,"")</x:f>
        <x:v>0</x:v>
      </x:c>
    </x:row>
    <x:row r="70">
      <x:c r="G70" t="str">
        <x:f>IFERROR(ABS((F70-D70)/(D70-E70)),"")</x:f>
      </x:c>
      <x:c r="J70" t="n">
        <x:f>IFERROR(H70*I70/100,"")</x:f>
        <x:v>0</x:v>
      </x:c>
    </x:row>
    <x:row r="71">
      <x:c r="G71" t="str">
        <x:f>IFERROR(ABS((F71-D71)/(D71-E71)),"")</x:f>
      </x:c>
      <x:c r="J71" t="n">
        <x:f>IFERROR(H71*I71/100,"")</x:f>
        <x:v>0</x:v>
      </x:c>
    </x:row>
    <x:row r="72">
      <x:c r="G72" t="str">
        <x:f>IFERROR(ABS((F72-D72)/(D72-E72)),"")</x:f>
      </x:c>
      <x:c r="J72" t="n">
        <x:f>IFERROR(H72*I72/100,"")</x:f>
        <x:v>0</x:v>
      </x:c>
    </x:row>
    <x:row r="73">
      <x:c r="G73" t="str">
        <x:f>IFERROR(ABS((F73-D73)/(D73-E73)),"")</x:f>
      </x:c>
      <x:c r="J73" t="n">
        <x:f>IFERROR(H73*I73/100,"")</x:f>
        <x:v>0</x:v>
      </x:c>
    </x:row>
    <x:row r="74">
      <x:c r="G74" t="str">
        <x:f>IFERROR(ABS((F74-D74)/(D74-E74)),"")</x:f>
      </x:c>
      <x:c r="J74" t="n">
        <x:f>IFERROR(H74*I74/100,"")</x:f>
        <x:v>0</x:v>
      </x:c>
    </x:row>
    <x:row r="75">
      <x:c r="G75" t="str">
        <x:f>IFERROR(ABS((F75-D75)/(D75-E75)),"")</x:f>
      </x:c>
      <x:c r="J75" t="n">
        <x:f>IFERROR(H75*I75/100,"")</x:f>
        <x:v>0</x:v>
      </x:c>
    </x:row>
    <x:row r="76">
      <x:c r="G76" t="str">
        <x:f>IFERROR(ABS((F76-D76)/(D76-E76)),"")</x:f>
      </x:c>
      <x:c r="J76" t="n">
        <x:f>IFERROR(H76*I76/100,"")</x:f>
        <x:v>0</x:v>
      </x:c>
    </x:row>
    <x:row r="77">
      <x:c r="G77" t="str">
        <x:f>IFERROR(ABS((F77-D77)/(D77-E77)),"")</x:f>
      </x:c>
      <x:c r="J77" t="n">
        <x:f>IFERROR(H77*I77/100,"")</x:f>
        <x:v>0</x:v>
      </x:c>
    </x:row>
    <x:row r="78">
      <x:c r="G78" t="str">
        <x:f>IFERROR(ABS((F78-D78)/(D78-E78)),"")</x:f>
      </x:c>
      <x:c r="J78" t="n">
        <x:f>IFERROR(H78*I78/100,"")</x:f>
        <x:v>0</x:v>
      </x:c>
    </x:row>
    <x:row r="79">
      <x:c r="G79" t="str">
        <x:f>IFERROR(ABS((F79-D79)/(D79-E79)),"")</x:f>
      </x:c>
      <x:c r="J79" t="n">
        <x:f>IFERROR(H79*I79/100,"")</x:f>
        <x:v>0</x:v>
      </x:c>
    </x:row>
    <x:row r="80">
      <x:c r="G80" t="str">
        <x:f>IFERROR(ABS((F80-D80)/(D80-E80)),"")</x:f>
      </x:c>
      <x:c r="J80" t="n">
        <x:f>IFERROR(H80*I80/100,"")</x:f>
        <x:v>0</x:v>
      </x:c>
    </x:row>
    <x:row r="81">
      <x:c r="G81" t="str">
        <x:f>IFERROR(ABS((F81-D81)/(D81-E81)),"")</x:f>
      </x:c>
      <x:c r="J81" t="n">
        <x:f>IFERROR(H81*I81/100,"")</x:f>
        <x:v>0</x:v>
      </x:c>
    </x:row>
    <x:row r="82">
      <x:c r="G82" t="str">
        <x:f>IFERROR(ABS((F82-D82)/(D82-E82)),"")</x:f>
      </x:c>
      <x:c r="J82" t="n">
        <x:f>IFERROR(H82*I82/100,"")</x:f>
        <x:v>0</x:v>
      </x:c>
    </x:row>
    <x:row r="83">
      <x:c r="G83" t="str">
        <x:f>IFERROR(ABS((F83-D83)/(D83-E83)),"")</x:f>
      </x:c>
      <x:c r="J83" t="n">
        <x:f>IFERROR(H83*I83/100,"")</x:f>
        <x:v>0</x:v>
      </x:c>
    </x:row>
    <x:row r="84">
      <x:c r="G84" t="str">
        <x:f>IFERROR(ABS((F84-D84)/(D84-E84)),"")</x:f>
      </x:c>
      <x:c r="J84" t="n">
        <x:f>IFERROR(H84*I84/100,"")</x:f>
        <x:v>0</x:v>
      </x:c>
    </x:row>
    <x:row r="85">
      <x:c r="G85" t="str">
        <x:f>IFERROR(ABS((F85-D85)/(D85-E85)),"")</x:f>
      </x:c>
      <x:c r="J85" t="n">
        <x:f>IFERROR(H85*I85/100,"")</x:f>
        <x:v>0</x:v>
      </x:c>
    </x:row>
    <x:row r="86">
      <x:c r="G86" t="str">
        <x:f>IFERROR(ABS((F86-D86)/(D86-E86)),"")</x:f>
      </x:c>
      <x:c r="J86" t="n">
        <x:f>IFERROR(H86*I86/100,"")</x:f>
        <x:v>0</x:v>
      </x:c>
    </x:row>
    <x:row r="87">
      <x:c r="G87" t="str">
        <x:f>IFERROR(ABS((F87-D87)/(D87-E87)),"")</x:f>
      </x:c>
      <x:c r="J87" t="n">
        <x:f>IFERROR(H87*I87/100,"")</x:f>
        <x:v>0</x:v>
      </x:c>
    </x:row>
    <x:row r="88">
      <x:c r="G88" t="str">
        <x:f>IFERROR(ABS((F88-D88)/(D88-E88)),"")</x:f>
      </x:c>
      <x:c r="J88" t="n">
        <x:f>IFERROR(H88*I88/100,"")</x:f>
        <x:v>0</x:v>
      </x:c>
    </x:row>
    <x:row r="89">
      <x:c r="G89" t="str">
        <x:f>IFERROR(ABS((F89-D89)/(D89-E89)),"")</x:f>
      </x:c>
      <x:c r="J89" t="n">
        <x:f>IFERROR(H89*I89/100,"")</x:f>
        <x:v>0</x:v>
      </x:c>
    </x:row>
    <x:row r="90">
      <x:c r="G90" t="str">
        <x:f>IFERROR(ABS((F90-D90)/(D90-E90)),"")</x:f>
      </x:c>
      <x:c r="J90" t="n">
        <x:f>IFERROR(H90*I90/100,"")</x:f>
        <x:v>0</x:v>
      </x:c>
    </x:row>
    <x:row r="91">
      <x:c r="G91" t="str">
        <x:f>IFERROR(ABS((F91-D91)/(D91-E91)),"")</x:f>
      </x:c>
      <x:c r="J91" t="n">
        <x:f>IFERROR(H91*I91/100,"")</x:f>
        <x:v>0</x:v>
      </x:c>
    </x:row>
    <x:row r="92">
      <x:c r="G92" t="str">
        <x:f>IFERROR(ABS((F92-D92)/(D92-E92)),"")</x:f>
      </x:c>
      <x:c r="J92" t="n">
        <x:f>IFERROR(H92*I92/100,"")</x:f>
        <x:v>0</x:v>
      </x:c>
    </x:row>
    <x:row r="93">
      <x:c r="G93" t="str">
        <x:f>IFERROR(ABS((F93-D93)/(D93-E93)),"")</x:f>
      </x:c>
      <x:c r="J93" t="n">
        <x:f>IFERROR(H93*I93/100,"")</x:f>
        <x:v>0</x:v>
      </x:c>
    </x:row>
    <x:row r="94">
      <x:c r="G94" t="str">
        <x:f>IFERROR(ABS((F94-D94)/(D94-E94)),"")</x:f>
      </x:c>
      <x:c r="J94" t="n">
        <x:f>IFERROR(H94*I94/100,"")</x:f>
        <x:v>0</x:v>
      </x:c>
    </x:row>
    <x:row r="95">
      <x:c r="G95" t="str">
        <x:f>IFERROR(ABS((F95-D95)/(D95-E95)),"")</x:f>
      </x:c>
      <x:c r="J95" t="n">
        <x:f>IFERROR(H95*I95/100,"")</x:f>
        <x:v>0</x:v>
      </x:c>
    </x:row>
    <x:row r="96">
      <x:c r="G96" t="str">
        <x:f>IFERROR(ABS((F96-D96)/(D96-E96)),"")</x:f>
      </x:c>
      <x:c r="J96" t="n">
        <x:f>IFERROR(H96*I96/100,"")</x:f>
        <x:v>0</x:v>
      </x:c>
    </x:row>
    <x:row r="97">
      <x:c r="G97" t="str">
        <x:f>IFERROR(ABS((F97-D97)/(D97-E97)),"")</x:f>
      </x:c>
      <x:c r="J97" t="n">
        <x:f>IFERROR(H97*I97/100,"")</x:f>
        <x:v>0</x:v>
      </x:c>
    </x:row>
    <x:row r="98">
      <x:c r="G98" t="str">
        <x:f>IFERROR(ABS((F98-D98)/(D98-E98)),"")</x:f>
      </x:c>
      <x:c r="J98" t="n">
        <x:f>IFERROR(H98*I98/100,"")</x:f>
        <x:v>0</x:v>
      </x:c>
    </x:row>
    <x:row r="99">
      <x:c r="G99" t="str">
        <x:f>IFERROR(ABS((F99-D99)/(D99-E99)),"")</x:f>
      </x:c>
      <x:c r="J99" t="n">
        <x:f>IFERROR(H99*I99/100,"")</x:f>
        <x:v>0</x:v>
      </x:c>
    </x:row>
    <x:row r="100">
      <x:c r="G100" t="str">
        <x:f>IFERROR(ABS((F100-D100)/(D100-E100)),"")</x:f>
      </x:c>
      <x:c r="J100" t="n">
        <x:f>IFERROR(H100*I100/100,"")</x:f>
        <x:v>0</x:v>
      </x:c>
    </x:row>
    <x:row r="101">
      <x:c r="G101" t="str">
        <x:f>IFERROR(ABS((F101-D101)/(D101-E101)),"")</x:f>
      </x:c>
      <x:c r="J101" t="n">
        <x:f>IFERROR(H101*I101/100,"")</x:f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34" customHeight="1">
      <x:c r="A1" s="4" t="str">
        <x:v>Name</x:v>
      </x:c>
      <x:c r="B1" s="4" t="str">
        <x:v>URL</x:v>
      </x:c>
      <x:c r="C1" s="4" t="str">
        <x:v>Cadence</x:v>
      </x:c>
      <x:c r="D1" s="4" t="str">
        <x:v>Availability</x:v>
      </x:c>
    </x:row>
    <x:row r="2">
      <x:c r="A2" t="str">
        <x:v>FRED</x:v>
      </x:c>
      <x:c r="B2" t="str">
        <x:v>https://fred.stlouisfed.org/docs/api/fred/</x:v>
      </x:c>
      <x:c r="C2" t="str">
        <x:v>Variable</x:v>
      </x:c>
      <x:c r="D2" t="str">
        <x:v>API key required</x:v>
      </x:c>
    </x:row>
    <x:row r="3">
      <x:c r="A3" t="str">
        <x:v>CFTC</x:v>
      </x:c>
      <x:c r="B3" t="str">
        <x:v>https://www.cftc.gov/MarketReports/CommitmentsofTraders/index.htm</x:v>
      </x:c>
      <x:c r="C3" t="str">
        <x:v>Weekly</x:v>
      </x:c>
      <x:c r="D3" t="str">
        <x:v>Manual until validated contract mapping</x:v>
      </x:c>
    </x:row>
    <x:row r="4">
      <x:c r="A4" t="str">
        <x:v>Twelve Data</x:v>
      </x:c>
      <x:c r="B4" t="str">
        <x:v>https://twelvedata.com/</x:v>
      </x:c>
      <x:c r="C4" t="str">
        <x:v>Daily</x:v>
      </x:c>
      <x:c r="D4" t="str">
        <x:v>Key/plan/symbol availability required</x:v>
      </x:c>
    </x:row>
    <x:row r="5">
      <x:c r="A5" t="str">
        <x:v>TradingView</x:v>
      </x:c>
      <x:c r="B5" t="str">
        <x:v>https://www.tradingview.com/</x:v>
      </x:c>
      <x:c r="C5" t="str">
        <x:v>Market-dependent</x:v>
      </x:c>
      <x:c r="D5" t="str">
        <x:v>Charts may be delayed</x:v>
      </x:c>
    </x:row>
  </x:sheetData>
  <x:pageMargins left="0.7" right="0.7" top="0.75" bottom="0.75" header="0.3" footer="0.3"/>
</x:worksheet>
</file>